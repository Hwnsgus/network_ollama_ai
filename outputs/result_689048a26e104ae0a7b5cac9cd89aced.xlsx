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 번호</t>
        </is>
      </c>
      <c r="B1" s="1" t="inlineStr">
        <is>
          <t>국문(품명)</t>
        </is>
      </c>
      <c r="C1" s="1" t="inlineStr">
        <is>
          <t>Maker</t>
        </is>
      </c>
      <c r="D1" s="1" t="inlineStr">
        <is>
          <t>Model</t>
        </is>
      </c>
      <c r="E1" s="1" t="inlineStr">
        <is>
          <t>필요 개수</t>
        </is>
      </c>
      <c r="F1" s="1" t="inlineStr">
        <is>
          <t>구매처 검색(Naver)</t>
        </is>
      </c>
    </row>
    <row r="2">
      <c r="A2" t="inlineStr">
        <is>
          <t>1</t>
        </is>
      </c>
      <c r="B2" t="inlineStr">
        <is>
          <t>LED 스크린</t>
        </is>
      </c>
      <c r="C2" t="inlineStr">
        <is>
          <t>Unknown</t>
        </is>
      </c>
      <c r="D2" t="inlineStr">
        <is>
          <t>Unknown</t>
        </is>
      </c>
      <c r="E2" t="n">
        <v>1</v>
      </c>
      <c r="F2">
        <f>HYPERLINK("https://search.shopping.naver.com/search/all?query=LED%20%EC%8A%A4%ED%81%AC%EB%A6%B0%202.5mm%20pitch%2018.24m%20x%204.32m", "₩ 가격비교 이동")</f>
        <v/>
      </c>
    </row>
    <row r="3">
      <c r="A3" t="inlineStr">
        <is>
          <t>2</t>
        </is>
      </c>
      <c r="B3" t="inlineStr">
        <is>
          <t>LED 스크린 컨트롤러</t>
        </is>
      </c>
      <c r="C3" t="inlineStr">
        <is>
          <t>Unknown</t>
        </is>
      </c>
      <c r="D3" t="inlineStr">
        <is>
          <t>Unknown</t>
        </is>
      </c>
      <c r="E3" t="n">
        <v>1</v>
      </c>
      <c r="F3">
        <f>HYPERLINK("https://search.shopping.naver.com/search/all?query=LED%20controller%204K%20UHD%20DP1.2%20HDMI2.0%20HDBT", "₩ 가격비교 이동")</f>
        <v/>
      </c>
    </row>
    <row r="4">
      <c r="A4" t="inlineStr">
        <is>
          <t>3</t>
        </is>
      </c>
      <c r="B4" t="inlineStr">
        <is>
          <t>월컨트롤러</t>
        </is>
      </c>
      <c r="C4" t="inlineStr">
        <is>
          <t>Unknown</t>
        </is>
      </c>
      <c r="D4" t="inlineStr">
        <is>
          <t>Unknown</t>
        </is>
      </c>
      <c r="E4" t="n">
        <v>1</v>
      </c>
      <c r="F4">
        <f>HYPERLINK("https://search.shopping.naver.com/search/all?query=video%20processor%204K%204x%20HDMI%202.0%202x%20DP%201.2%20Dante%2032x32", "₩ 가격비교 이동")</f>
        <v/>
      </c>
    </row>
    <row r="5">
      <c r="A5" t="inlineStr">
        <is>
          <t>4</t>
        </is>
      </c>
      <c r="B5" t="inlineStr">
        <is>
          <t>플레이어PC</t>
        </is>
      </c>
      <c r="C5" t="inlineStr">
        <is>
          <t>Intel</t>
        </is>
      </c>
      <c r="D5" t="inlineStr">
        <is>
          <t>Core i7-14700</t>
        </is>
      </c>
      <c r="E5" t="n">
        <v>1</v>
      </c>
      <c r="F5">
        <f>HYPERLINK("https://search.shopping.naver.com/search/all?query=Intel%20Core%20i7-14700%20processor", "₩ 가격비교 이동")</f>
        <v/>
      </c>
    </row>
    <row r="6">
      <c r="A6" t="inlineStr">
        <is>
          <t>1</t>
        </is>
      </c>
      <c r="B6" t="inlineStr">
        <is>
          <t>LED 스크린</t>
        </is>
      </c>
      <c r="C6" t="inlineStr">
        <is>
          <t>Unknown</t>
        </is>
      </c>
      <c r="D6" t="inlineStr">
        <is>
          <t>130인치 LED 스크린 (1.5mm Pixel Pitch)</t>
        </is>
      </c>
      <c r="E6" t="n">
        <v>4</v>
      </c>
      <c r="F6">
        <f>HYPERLINK("https://search.shopping.naver.com/search/all?query=130%20inch%201.5mm%20pixel%20pitch%20LED%20screen", "₩ 가격비교 이동")</f>
        <v/>
      </c>
    </row>
    <row r="7">
      <c r="A7" t="inlineStr">
        <is>
          <t>2</t>
        </is>
      </c>
      <c r="B7" t="inlineStr">
        <is>
          <t>홀 메인 스피커</t>
        </is>
      </c>
      <c r="C7" t="inlineStr">
        <is>
          <t>JBL</t>
        </is>
      </c>
      <c r="D7" t="inlineStr">
        <is>
          <t>CBT50LA-1</t>
        </is>
      </c>
      <c r="E7" t="n">
        <v>1</v>
      </c>
      <c r="F7">
        <f>HYPERLINK("https://search.shopping.naver.com/search/all?query=JBL%20CBT50LA-1%20price", "₩ 가격비교 이동")</f>
        <v/>
      </c>
    </row>
    <row r="8">
      <c r="A8" t="inlineStr">
        <is>
          <t>3</t>
        </is>
      </c>
      <c r="B8" t="inlineStr">
        <is>
          <t>입구 천장 스피커</t>
        </is>
      </c>
      <c r="C8" t="inlineStr">
        <is>
          <t>JBL</t>
        </is>
      </c>
      <c r="D8" t="inlineStr">
        <is>
          <t>Control 426C/T</t>
        </is>
      </c>
      <c r="E8" t="n">
        <v>1</v>
      </c>
      <c r="F8">
        <f>HYPERLINK("https://search.shopping.naver.com/search/all?query=JBL%20Control%20426C/T%20price", "₩ 가격비교 이동")</f>
        <v/>
      </c>
    </row>
    <row r="9">
      <c r="A9" t="inlineStr">
        <is>
          <t>4</t>
        </is>
      </c>
      <c r="B9" t="inlineStr">
        <is>
          <t>조종실 천장 스피커</t>
        </is>
      </c>
      <c r="C9" t="inlineStr">
        <is>
          <t>JBL</t>
        </is>
      </c>
      <c r="D9" t="inlineStr">
        <is>
          <t>Control 416C/T</t>
        </is>
      </c>
      <c r="E9" t="n">
        <v>1</v>
      </c>
      <c r="F9">
        <f>HYPERLINK("https://search.shopping.naver.com/search/all?query=JBL%20Control%20416C/T%20price", "₩ 가격비교 이동")</f>
        <v/>
      </c>
    </row>
    <row r="10">
      <c r="A10" t="inlineStr">
        <is>
          <t>5</t>
        </is>
      </c>
      <c r="B10" t="inlineStr">
        <is>
          <t>마이크 수신부</t>
        </is>
      </c>
      <c r="C10" t="inlineStr">
        <is>
          <t>Shure</t>
        </is>
      </c>
      <c r="D10" t="inlineStr">
        <is>
          <t>QLXD2/SM58</t>
        </is>
      </c>
      <c r="E10" t="n">
        <v>1</v>
      </c>
      <c r="F10">
        <f>HYPERLINK("https://search.shopping.naver.com/search/all?query=Shure%20QLXD2/SM58%20price", "₩ 가격비교 이동")</f>
        <v/>
      </c>
    </row>
    <row r="11">
      <c r="A11" t="inlineStr">
        <is>
          <t>바</t>
        </is>
      </c>
      <c r="B11" t="inlineStr">
        <is>
          <t>무선마이크 송신부</t>
        </is>
      </c>
      <c r="C11" t="inlineStr">
        <is>
          <t>Shure</t>
        </is>
      </c>
      <c r="D11" t="inlineStr">
        <is>
          <t>QLXD4</t>
        </is>
      </c>
      <c r="E11" t="n">
        <v>1</v>
      </c>
      <c r="F11">
        <f>HYPERLINK("https://search.shopping.naver.com/search/all?query=Shure%20QLXD4%20price", "₩ 가격비교 이동")</f>
        <v/>
      </c>
    </row>
    <row r="12">
      <c r="A12" t="inlineStr">
        <is>
          <t>사</t>
        </is>
      </c>
      <c r="B12" t="inlineStr">
        <is>
          <t>무선마이크송신부[바디팩]</t>
        </is>
      </c>
      <c r="C12" t="inlineStr">
        <is>
          <t>Shure</t>
        </is>
      </c>
      <c r="D12" t="inlineStr">
        <is>
          <t>QLXD1</t>
        </is>
      </c>
      <c r="E12" t="n">
        <v>1</v>
      </c>
      <c r="F12">
        <f>HYPERLINK("https://search.shopping.naver.com/search/all?query=Shure%20QLXD1%20price", "₩ 가격비교 이동")</f>
        <v/>
      </c>
    </row>
    <row r="13">
      <c r="A13" t="inlineStr">
        <is>
          <t>아</t>
        </is>
      </c>
      <c r="B13" t="inlineStr">
        <is>
          <t>무선마이크 배터리 충전기</t>
        </is>
      </c>
      <c r="C13" t="inlineStr">
        <is>
          <t>Shure</t>
        </is>
      </c>
      <c r="D13" t="inlineStr">
        <is>
          <t>SBC200</t>
        </is>
      </c>
      <c r="E13" t="n">
        <v>1</v>
      </c>
      <c r="F13">
        <f>HYPERLINK("https://search.shopping.naver.com/search/all?query=Shure%20SBC200%20price", "₩ 가격비교 이동")</f>
        <v/>
      </c>
    </row>
    <row r="14">
      <c r="A14" t="inlineStr">
        <is>
          <t>자</t>
        </is>
      </c>
      <c r="B14" t="inlineStr">
        <is>
          <t>무선마이크 배터리</t>
        </is>
      </c>
      <c r="C14" t="inlineStr">
        <is>
          <t>Shure</t>
        </is>
      </c>
      <c r="D14" t="inlineStr">
        <is>
          <t>SB900B</t>
        </is>
      </c>
      <c r="E14" t="n">
        <v>1</v>
      </c>
      <c r="F14">
        <f>HYPERLINK("https://search.shopping.naver.com/search/all?query=Shure%20SB900B%20price", "₩ 가격비교 이동")</f>
        <v/>
      </c>
    </row>
    <row r="15">
      <c r="A15" t="inlineStr">
        <is>
          <t>차</t>
        </is>
      </c>
      <c r="B15" t="inlineStr">
        <is>
          <t>디지털 믹서</t>
        </is>
      </c>
      <c r="C15" t="inlineStr">
        <is>
          <t>Yamaha</t>
        </is>
      </c>
      <c r="D15" t="inlineStr">
        <is>
          <t>DM7</t>
        </is>
      </c>
      <c r="E15" t="n">
        <v>1</v>
      </c>
      <c r="F15">
        <f>HYPERLINK("https://search.shopping.naver.com/search/all?query=Yamaha%20DM7%20price", "₩ 가격비교 이동")</f>
        <v/>
      </c>
    </row>
    <row r="16">
      <c r="A16" t="inlineStr">
        <is>
          <t>1</t>
        </is>
      </c>
      <c r="B16" t="inlineStr">
        <is>
          <t>디지털 믹서</t>
        </is>
      </c>
      <c r="C16" t="inlineStr">
        <is>
          <t>Yamaha</t>
        </is>
      </c>
      <c r="D16" t="inlineStr">
        <is>
          <t>RIVAGE PM10</t>
        </is>
      </c>
      <c r="E16" t="n">
        <v>1</v>
      </c>
      <c r="F16">
        <f>HYPERLINK("https://search.shopping.naver.com/search/all?query=Yamaha%20RIVAGE%20PM10%20price", "₩ 가격비교 이동")</f>
        <v/>
      </c>
    </row>
    <row r="17">
      <c r="A17" t="inlineStr">
        <is>
          <t>2</t>
        </is>
      </c>
      <c r="B17" t="inlineStr">
        <is>
          <t>터치 스크린 컨트롤러</t>
        </is>
      </c>
      <c r="C17" t="inlineStr">
        <is>
          <t>Crestron</t>
        </is>
      </c>
      <c r="D17" t="inlineStr">
        <is>
          <t>MC3</t>
        </is>
      </c>
      <c r="E17" t="n">
        <v>1</v>
      </c>
      <c r="F17">
        <f>HYPERLINK("https://search.shopping.naver.com/search/all?query=Crestron%20MC3%20price", "₩ 가격비교 이동")</f>
        <v/>
      </c>
    </row>
    <row r="18">
      <c r="A18" t="inlineStr">
        <is>
          <t>3</t>
        </is>
      </c>
      <c r="B18" t="inlineStr">
        <is>
          <t>DSP</t>
        </is>
      </c>
      <c r="C18" t="inlineStr">
        <is>
          <t>BSS Audio</t>
        </is>
      </c>
      <c r="D18" t="inlineStr">
        <is>
          <t>BLU-100</t>
        </is>
      </c>
      <c r="E18" t="n">
        <v>1</v>
      </c>
      <c r="F18">
        <f>HYPERLINK("https://search.shopping.naver.com/search/all?query=BSS%20BLU-100%20price", "₩ 가격비교 이동")</f>
        <v/>
      </c>
    </row>
    <row r="19">
      <c r="A19" t="inlineStr">
        <is>
          <t>4</t>
        </is>
      </c>
      <c r="B19" t="inlineStr">
        <is>
          <t>DSP</t>
        </is>
      </c>
      <c r="C19" t="inlineStr">
        <is>
          <t>dbx</t>
        </is>
      </c>
      <c r="D19" t="inlineStr">
        <is>
          <t>ASF2</t>
        </is>
      </c>
      <c r="E19" t="n">
        <v>1</v>
      </c>
      <c r="F19">
        <f>HYPERLINK("https://search.shopping.naver.com/search/all?query=dbx%20ASF2%20price", "₩ 가격비교 이동")</f>
        <v/>
      </c>
    </row>
    <row r="20">
      <c r="A20" t="inlineStr">
        <is>
          <t>5</t>
        </is>
      </c>
      <c r="B20" t="inlineStr">
        <is>
          <t>파워 앰프</t>
        </is>
      </c>
      <c r="C20" t="inlineStr">
        <is>
          <t>Crown</t>
        </is>
      </c>
      <c r="D20" t="inlineStr">
        <is>
          <t>CDi4|300BL</t>
        </is>
      </c>
      <c r="E20" t="n">
        <v>1</v>
      </c>
      <c r="F20">
        <f>HYPERLINK("https://search.shopping.naver.com/search/all?query=Crown%20CDi4%7C300BL%20price", "₩ 가격비교 이동")</f>
        <v/>
      </c>
    </row>
    <row r="21">
      <c r="A21" t="inlineStr">
        <is>
          <t>6</t>
        </is>
      </c>
      <c r="B21" t="inlineStr">
        <is>
          <t>PTZ 카메라</t>
        </is>
      </c>
      <c r="C21" t="inlineStr">
        <is>
          <t>Canon</t>
        </is>
      </c>
      <c r="D21" t="inlineStr">
        <is>
          <t>CR-N300</t>
        </is>
      </c>
      <c r="E21" t="n">
        <v>1</v>
      </c>
      <c r="F21">
        <f>HYPERLINK("https://search.shopping.naver.com/search/all?query=Canon%20CR-N300%20price", "₩ 가격비교 이동")</f>
        <v/>
      </c>
    </row>
    <row r="22">
      <c r="A22" t="inlineStr">
        <is>
          <t>7</t>
        </is>
      </c>
      <c r="B22" t="inlineStr">
        <is>
          <t>PTZ 카메라 컨트롤러</t>
        </is>
      </c>
      <c r="C22" t="inlineStr">
        <is>
          <t>Canon</t>
        </is>
      </c>
      <c r="D22" t="inlineStr">
        <is>
          <t>RC-IP1000</t>
        </is>
      </c>
      <c r="E22" t="n">
        <v>1</v>
      </c>
      <c r="F22">
        <f>HYPERLINK("https://search.shopping.naver.com/search/all?query=Canon%20RC-IP1000%20price", "₩ 가격비교 이동")</f>
        <v/>
      </c>
    </row>
    <row r="23">
      <c r="A23" t="inlineStr">
        <is>
          <t>8</t>
        </is>
      </c>
      <c r="B23" t="inlineStr">
        <is>
          <t>SDI 라우터</t>
        </is>
      </c>
      <c r="C23" t="inlineStr">
        <is>
          <t>Blackmagic Design</t>
        </is>
      </c>
      <c r="D23" t="inlineStr">
        <is>
          <t>Videohub 20x20 12G</t>
        </is>
      </c>
      <c r="E23" t="n">
        <v>1</v>
      </c>
      <c r="F23">
        <f>HYPERLINK("https://search.shopping.naver.com/search/all?query=Blackmagic%20Videohub%2020x20%2012G%20price", "₩ 가격비교 이동")</f>
        <v/>
      </c>
    </row>
    <row r="24">
      <c r="A24" t="inlineStr">
        <is>
          <t>1</t>
        </is>
      </c>
      <c r="B24" t="inlineStr">
        <is>
          <t>SDI 비디오 라우터</t>
        </is>
      </c>
      <c r="C24" t="inlineStr">
        <is>
          <t>Blackmagic Design</t>
        </is>
      </c>
      <c r="D24" t="inlineStr">
        <is>
          <t>VideoHub</t>
        </is>
      </c>
      <c r="E24" t="n">
        <v>1</v>
      </c>
      <c r="F24">
        <f>HYPERLINK("https://search.shopping.naver.com/search/all?query=Blackmagic%20VideoHub%20price", "₩ 가격비교 이동")</f>
        <v/>
      </c>
    </row>
    <row r="25">
      <c r="A25" t="inlineStr">
        <is>
          <t>2</t>
        </is>
      </c>
      <c r="B25" t="inlineStr">
        <is>
          <t>비디오 컨트롤 패널</t>
        </is>
      </c>
      <c r="C25" t="inlineStr">
        <is>
          <t>Blackmagic Design</t>
        </is>
      </c>
      <c r="D25" t="inlineStr">
        <is>
          <t>Video Smart Control Pro</t>
        </is>
      </c>
      <c r="E25" t="n">
        <v>1</v>
      </c>
      <c r="F25">
        <f>HYPERLINK("https://search.shopping.naver.com/search/all?query=Blackmagic%20VideoHub%20smart%20Control%20Pro%20price", "₩ 가격비교 이동")</f>
        <v/>
      </c>
    </row>
    <row r="26">
      <c r="A26" t="inlineStr">
        <is>
          <t>3</t>
        </is>
      </c>
      <c r="B26" t="inlineStr">
        <is>
          <t>SDI 멀티뷰어</t>
        </is>
      </c>
      <c r="C26" t="inlineStr">
        <is>
          <t>Blackmagic Design</t>
        </is>
      </c>
      <c r="D26" t="inlineStr">
        <is>
          <t>Mutiviwer 16</t>
        </is>
      </c>
      <c r="E26" t="n">
        <v>1</v>
      </c>
      <c r="F26">
        <f>HYPERLINK("https://search.shopping.naver.com/search/all?query=Blackmagic%20Mutiviwer%2016%20price", "₩ 가격비교 이동")</f>
        <v/>
      </c>
    </row>
    <row r="27">
      <c r="A27" t="inlineStr">
        <is>
          <t>4</t>
        </is>
      </c>
      <c r="B27" t="inlineStr">
        <is>
          <t>SDI 레코더</t>
        </is>
      </c>
      <c r="C27" t="inlineStr">
        <is>
          <t>Blackmagic Design</t>
        </is>
      </c>
      <c r="D27" t="inlineStr">
        <is>
          <t>HyperDeck Studio HD Mini</t>
        </is>
      </c>
      <c r="E27" t="n">
        <v>1</v>
      </c>
      <c r="F27">
        <f>HYPERLINK("https://search.shopping.naver.com/search/all?query=Blackmagic%20HyperDeck%20Studio%20HD%20Mini%20price", "₩ 가격비교 이동")</f>
        <v/>
      </c>
    </row>
    <row r="28">
      <c r="A28" t="inlineStr">
        <is>
          <t>5</t>
        </is>
      </c>
      <c r="B28" t="inlineStr">
        <is>
          <t>SDI 스트리밍 인코더</t>
        </is>
      </c>
      <c r="C28" t="inlineStr">
        <is>
          <t>Blackmagic Design</t>
        </is>
      </c>
      <c r="D28" t="inlineStr">
        <is>
          <t>Streaming Encoder 4K</t>
        </is>
      </c>
      <c r="E28" t="n">
        <v>1</v>
      </c>
      <c r="F28">
        <f>HYPERLINK("https://search.shopping.naver.com/search/all?query=Blackmagic%20Streaming%20Encoder%204K%20price", "₩ 가격비교 이동")</f>
        <v/>
      </c>
    </row>
    <row r="29">
      <c r="A29" t="inlineStr">
        <is>
          <t>6</t>
        </is>
      </c>
      <c r="B29" t="inlineStr">
        <is>
          <t>SDI 오디오 컨버터</t>
        </is>
      </c>
      <c r="C29" t="inlineStr">
        <is>
          <t>Blackmagic Design</t>
        </is>
      </c>
      <c r="D29" t="inlineStr">
        <is>
          <t>Ternanex Mini Audio to SDI 12G</t>
        </is>
      </c>
      <c r="E29" t="n">
        <v>1</v>
      </c>
      <c r="F29">
        <f>HYPERLINK("https://search.shopping.naver.com/search/all?query=Blackmagic%20Ternanex%20Mini%20Audio%20to%20SDI%2012G%20price", "₩ 가격비교 이동")</f>
        <v/>
      </c>
    </row>
    <row r="30">
      <c r="A30" t="inlineStr">
        <is>
          <t>1</t>
        </is>
      </c>
      <c r="B30" t="inlineStr">
        <is>
          <t>전문 오디오-SDI 컨버터</t>
        </is>
      </c>
      <c r="C30" t="inlineStr">
        <is>
          <t>Unknown</t>
        </is>
      </c>
      <c r="D30" t="inlineStr">
        <is>
          <t>Unknown</t>
        </is>
      </c>
      <c r="E30" t="n">
        <v>1</v>
      </c>
      <c r="F30">
        <f>HYPERLINK("https://search.shopping.naver.com/search/all?query=12G-SDI%20audio%20embedder%20converter", "₩ 가격비교 이동")</f>
        <v/>
      </c>
    </row>
    <row r="31">
      <c r="A31" t="inlineStr">
        <is>
          <t>2</t>
        </is>
      </c>
      <c r="B31" t="inlineStr">
        <is>
          <t>통합제어 컨트롤러</t>
        </is>
      </c>
      <c r="C31" t="inlineStr">
        <is>
          <t>AMX</t>
        </is>
      </c>
      <c r="D31" t="inlineStr">
        <is>
          <t>MU-2300</t>
        </is>
      </c>
      <c r="E31" t="n">
        <v>1</v>
      </c>
      <c r="F31">
        <f>HYPERLINK("https://search.shopping.naver.com/search/all?query=AMX%20MU-2300%20price", "₩ 가격비교 이동")</f>
        <v/>
      </c>
    </row>
    <row r="32">
      <c r="A32" t="inlineStr">
        <is>
          <t>3</t>
        </is>
      </c>
      <c r="B32" t="inlineStr">
        <is>
          <t>통합제어 터치패널</t>
        </is>
      </c>
      <c r="C32" t="inlineStr">
        <is>
          <t>AMX</t>
        </is>
      </c>
      <c r="D32" t="inlineStr">
        <is>
          <t>VARIA-100</t>
        </is>
      </c>
      <c r="E32" t="n">
        <v>1</v>
      </c>
      <c r="F32">
        <f>HYPERLINK("https://search.shopping.naver.com/search/all?query=AMX%20VARIA-100%20price", "₩ 가격비교 이동")</f>
        <v/>
      </c>
    </row>
    <row r="33">
      <c r="A33" t="inlineStr">
        <is>
          <t>4</t>
        </is>
      </c>
      <c r="B33" t="inlineStr">
        <is>
          <t>전원 시퀀서/파워 컨디셔너</t>
        </is>
      </c>
      <c r="C33" t="inlineStr">
        <is>
          <t>Serge</t>
        </is>
      </c>
      <c r="D33" t="inlineStr">
        <is>
          <t>SEQ-1216i</t>
        </is>
      </c>
      <c r="E33" t="n">
        <v>1</v>
      </c>
      <c r="F33">
        <f>HYPERLINK("https://search.shopping.naver.com/search/all?query=Serge%20SEQ-1216i%20price", "₩ 가격비교 이동")</f>
        <v/>
      </c>
    </row>
    <row r="34">
      <c r="A34" t="inlineStr">
        <is>
          <t>5</t>
        </is>
      </c>
      <c r="B34" t="inlineStr">
        <is>
          <t>UPS</t>
        </is>
      </c>
      <c r="C34" t="inlineStr">
        <is>
          <t>APC</t>
        </is>
      </c>
      <c r="D34" t="inlineStr">
        <is>
          <t>Smart-UPS SMT3000RMI2U</t>
        </is>
      </c>
      <c r="E34" t="n">
        <v>1</v>
      </c>
      <c r="F34">
        <f>HYPERLINK("https://search.shopping.naver.com/search/all?query=APC%20Smart-UPS%20SMT3000RMI2U%20price", "₩ 가격비교 이동")</f>
        <v/>
      </c>
    </row>
    <row r="35">
      <c r="A35" t="inlineStr">
        <is>
          <t>6</t>
        </is>
      </c>
      <c r="B35" t="inlineStr">
        <is>
          <t>LCD 사이니지</t>
        </is>
      </c>
      <c r="C35" t="inlineStr">
        <is>
          <t>Unknown</t>
        </is>
      </c>
      <c r="D35" t="inlineStr">
        <is>
          <t>Unknown</t>
        </is>
      </c>
      <c r="E35" t="n">
        <v>1</v>
      </c>
      <c r="F35">
        <f>HYPERLINK("https://search.shopping.naver.com/search/all?query=43/50/55/65%20inch%204K%20LCD%20signage", "₩ 가격비교 이동")</f>
        <v/>
      </c>
    </row>
    <row r="36">
      <c r="A36" t="inlineStr">
        <is>
          <t>1</t>
        </is>
      </c>
      <c r="B36" t="inlineStr">
        <is>
          <t>전자칠판</t>
        </is>
      </c>
      <c r="C36" t="inlineStr">
        <is>
          <t>PartnerLink</t>
        </is>
      </c>
      <c r="D36" t="inlineStr">
        <is>
          <t>EduBoard-86</t>
        </is>
      </c>
      <c r="E36" t="n">
        <v>1</v>
      </c>
      <c r="F36">
        <f>HYPERLINK("https://search.shopping.naver.com/search/all?query=EduBoard-86%20price", "₩ 가격비교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2026-02-26T01:37:06Z</dcterms:created>
  <dcterms:modified xsi:type="dcterms:W3CDTF">2026-02-26T01:37:06Z</dcterms:modified>
</cp:coreProperties>
</file>