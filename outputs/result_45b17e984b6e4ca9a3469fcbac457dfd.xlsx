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물품 번호</t>
        </is>
      </c>
      <c r="B1" s="1" t="inlineStr">
        <is>
          <t>품명</t>
        </is>
      </c>
      <c r="C1" s="1" t="inlineStr">
        <is>
          <t>제조사(Maker)</t>
        </is>
      </c>
      <c r="D1" s="1" t="inlineStr">
        <is>
          <t>모델명(Model)</t>
        </is>
      </c>
      <c r="E1" s="1" t="inlineStr">
        <is>
          <t>수량</t>
        </is>
      </c>
      <c r="F1" s="1" t="inlineStr">
        <is>
          <t>단가(추정 ₩)</t>
        </is>
      </c>
      <c r="G1" s="1" t="inlineStr">
        <is>
          <t>단가(추정 $)</t>
        </is>
      </c>
      <c r="H1" s="1" t="inlineStr">
        <is>
          <t>총 금액(₩)</t>
        </is>
      </c>
      <c r="I1" s="1" t="inlineStr">
        <is>
          <t>참조 링크</t>
        </is>
      </c>
    </row>
    <row r="2">
      <c r="A2" t="inlineStr">
        <is>
          <t>1</t>
        </is>
      </c>
      <c r="B2" t="inlineStr">
        <is>
          <t>LED 스크린</t>
        </is>
      </c>
      <c r="C2" t="inlineStr">
        <is>
          <t>Unidentifiable</t>
        </is>
      </c>
      <c r="D2" t="inlineStr">
        <is>
          <t>Unknown</t>
        </is>
      </c>
      <c r="E2" t="n">
        <v>1</v>
      </c>
      <c r="F2" t="n">
        <v>84000000</v>
      </c>
      <c r="G2" t="n">
        <v>60000</v>
      </c>
      <c r="H2" t="n">
        <v>84000000</v>
      </c>
      <c r="I2">
        <f>HYPERLINK("https://search.shopping.naver.com/search/all?query=LED%20screen%202.5mm%20pitch%2018.24m%20x%204.32m", "🛒 네이버 쇼핑 검색")</f>
        <v/>
      </c>
    </row>
    <row r="3">
      <c r="A3" t="inlineStr">
        <is>
          <t>2</t>
        </is>
      </c>
      <c r="B3" t="inlineStr">
        <is>
          <t>LED 스크린 컨트롤러</t>
        </is>
      </c>
      <c r="C3" t="inlineStr">
        <is>
          <t>Unidentifiable</t>
        </is>
      </c>
      <c r="D3" t="inlineStr">
        <is>
          <t>Unknown</t>
        </is>
      </c>
      <c r="E3" t="n">
        <v>1</v>
      </c>
      <c r="F3" t="n">
        <v>21000000</v>
      </c>
      <c r="G3" t="n">
        <v>15000</v>
      </c>
      <c r="H3" t="n">
        <v>21000000</v>
      </c>
      <c r="I3">
        <f>HYPERLINK("https://search.shopping.naver.com/search/all?query=LED%20controller%204K%20UHD%20HDR", "🛒 네이버 쇼핑 검색")</f>
        <v/>
      </c>
    </row>
    <row r="4">
      <c r="A4" t="inlineStr">
        <is>
          <t>3</t>
        </is>
      </c>
      <c r="B4" t="inlineStr">
        <is>
          <t>월컨트롤러</t>
        </is>
      </c>
      <c r="C4" t="inlineStr">
        <is>
          <t>Unidentifiable</t>
        </is>
      </c>
      <c r="D4" t="inlineStr">
        <is>
          <t>Unknown</t>
        </is>
      </c>
      <c r="E4" t="n">
        <v>1</v>
      </c>
      <c r="F4" t="n">
        <v>16800000</v>
      </c>
      <c r="G4" t="n">
        <v>12000</v>
      </c>
      <c r="H4" t="n">
        <v>16800000</v>
      </c>
      <c r="I4">
        <f>HYPERLINK("https://search.shopping.naver.com/search/all?query=video%20processor%204K%204x%20HDMI%202.0%202x%20DP%201.2", "🛒 네이버 쇼핑 검색")</f>
        <v/>
      </c>
    </row>
    <row r="5">
      <c r="A5" t="inlineStr">
        <is>
          <t>4</t>
        </is>
      </c>
      <c r="B5" t="inlineStr">
        <is>
          <t>플레이어PC</t>
        </is>
      </c>
      <c r="C5" t="inlineStr">
        <is>
          <t>Intel</t>
        </is>
      </c>
      <c r="D5" t="inlineStr">
        <is>
          <t>Core i7-14700</t>
        </is>
      </c>
      <c r="E5" t="n">
        <v>1</v>
      </c>
      <c r="F5" t="n">
        <v>560000</v>
      </c>
      <c r="G5" t="n">
        <v>400</v>
      </c>
      <c r="H5" t="n">
        <v>560000</v>
      </c>
      <c r="I5">
        <f>HYPERLINK("https://www.intel.com/content/www/us/en/products/processors/core-i7/core-i7-14700.html", "🌐 공식 홈페이지 이동")</f>
        <v/>
      </c>
    </row>
    <row r="6">
      <c r="A6" t="inlineStr">
        <is>
          <t>1</t>
        </is>
      </c>
      <c r="B6" t="inlineStr">
        <is>
          <t>LED 스크린</t>
        </is>
      </c>
      <c r="C6" t="inlineStr">
        <is>
          <t>Unknown</t>
        </is>
      </c>
      <c r="D6" t="inlineStr">
        <is>
          <t>130인치 LED 스크린 (1.5mm Pixel Pitch)</t>
        </is>
      </c>
      <c r="E6" t="n">
        <v>4</v>
      </c>
      <c r="F6" t="n">
        <v>8400000</v>
      </c>
      <c r="G6" t="n">
        <v>6000</v>
      </c>
      <c r="H6" t="n">
        <v>33600000</v>
      </c>
      <c r="I6">
        <f>HYPERLINK("https://search.shopping.naver.com/search/all?query=130%20inch%20LED%20screen%201.5mm%20pitch", "🛒 네이버 쇼핑 검색")</f>
        <v/>
      </c>
    </row>
    <row r="7">
      <c r="A7" t="inlineStr">
        <is>
          <t>2</t>
        </is>
      </c>
      <c r="B7" t="inlineStr">
        <is>
          <t>홀 메인 스피커</t>
        </is>
      </c>
      <c r="C7" t="inlineStr">
        <is>
          <t>JBL</t>
        </is>
      </c>
      <c r="D7" t="inlineStr">
        <is>
          <t>CBT50LA-1</t>
        </is>
      </c>
      <c r="E7" t="n">
        <v>1</v>
      </c>
      <c r="F7" t="n">
        <v>1120000</v>
      </c>
      <c r="G7" t="n">
        <v>800</v>
      </c>
      <c r="H7" t="n">
        <v>1120000</v>
      </c>
      <c r="I7">
        <f>HYPERLINK("https://www.jblpro.com/en/products/cbt50la-1", "🌐 공식 홈페이지 이동")</f>
        <v/>
      </c>
    </row>
    <row r="8">
      <c r="A8" t="inlineStr">
        <is>
          <t>3</t>
        </is>
      </c>
      <c r="B8" t="inlineStr">
        <is>
          <t>입구 천장 스피커</t>
        </is>
      </c>
      <c r="C8" t="inlineStr">
        <is>
          <t>JBL</t>
        </is>
      </c>
      <c r="D8" t="inlineStr">
        <is>
          <t>Control 426C/T</t>
        </is>
      </c>
      <c r="E8" t="n">
        <v>1</v>
      </c>
      <c r="F8" t="n">
        <v>350000</v>
      </c>
      <c r="G8" t="n">
        <v>250</v>
      </c>
      <c r="H8" t="n">
        <v>350000</v>
      </c>
      <c r="I8">
        <f>HYPERLINK("https://www.jblpro.com/en/products/control-426c-t", "🌐 공식 홈페이지 이동")</f>
        <v/>
      </c>
    </row>
    <row r="9">
      <c r="A9" t="inlineStr">
        <is>
          <t>4</t>
        </is>
      </c>
      <c r="B9" t="inlineStr">
        <is>
          <t>조종실 천장 스피커</t>
        </is>
      </c>
      <c r="C9" t="inlineStr">
        <is>
          <t>JBL</t>
        </is>
      </c>
      <c r="D9" t="inlineStr">
        <is>
          <t>Control 416C/T</t>
        </is>
      </c>
      <c r="E9" t="n">
        <v>1</v>
      </c>
      <c r="F9" t="n">
        <v>280000</v>
      </c>
      <c r="G9" t="n">
        <v>200</v>
      </c>
      <c r="H9" t="n">
        <v>280000</v>
      </c>
      <c r="I9">
        <f>HYPERLINK("https://www.jblpro.com/en/products/control-416c-t", "🌐 공식 홈페이지 이동")</f>
        <v/>
      </c>
    </row>
    <row r="10">
      <c r="A10" t="inlineStr">
        <is>
          <t>5</t>
        </is>
      </c>
      <c r="B10" t="inlineStr">
        <is>
          <t>마이크 수신부</t>
        </is>
      </c>
      <c r="C10" t="inlineStr">
        <is>
          <t>Shure</t>
        </is>
      </c>
      <c r="D10" t="inlineStr">
        <is>
          <t>QLXD2/SM58</t>
        </is>
      </c>
      <c r="E10" t="n">
        <v>1</v>
      </c>
      <c r="F10" t="n">
        <v>560000</v>
      </c>
      <c r="G10" t="n">
        <v>400</v>
      </c>
      <c r="H10" t="n">
        <v>560000</v>
      </c>
      <c r="I10">
        <f>HYPERLINK("https://www.shure.com/en-US/products/wireless-systems/qlx-d/qlxd2-sm58", "🌐 공식 홈페이지 이동")</f>
        <v/>
      </c>
    </row>
    <row r="11">
      <c r="A11" t="inlineStr">
        <is>
          <t>바</t>
        </is>
      </c>
      <c r="B11" t="inlineStr">
        <is>
          <t>무선마이크 송신부</t>
        </is>
      </c>
      <c r="C11" t="inlineStr">
        <is>
          <t>Shure</t>
        </is>
      </c>
      <c r="D11" t="inlineStr">
        <is>
          <t>QLXD4</t>
        </is>
      </c>
      <c r="E11" t="n">
        <v>1</v>
      </c>
      <c r="F11" t="n">
        <v>348600</v>
      </c>
      <c r="G11" t="n">
        <v>249</v>
      </c>
      <c r="H11" t="n">
        <v>348600</v>
      </c>
      <c r="I11">
        <f>HYPERLINK("https://www.shure.com/en-US/products/wireless_systems/qlx-d_digital_wireless_system/qlxd4", "🌐 공식 홈페이지 이동")</f>
        <v/>
      </c>
    </row>
    <row r="12">
      <c r="A12" t="inlineStr">
        <is>
          <t>사</t>
        </is>
      </c>
      <c r="B12" t="inlineStr">
        <is>
          <t>무선마이크송신부[바디팩]</t>
        </is>
      </c>
      <c r="C12" t="inlineStr">
        <is>
          <t>Shure</t>
        </is>
      </c>
      <c r="D12" t="inlineStr">
        <is>
          <t>QLXD1</t>
        </is>
      </c>
      <c r="E12" t="n">
        <v>1</v>
      </c>
      <c r="F12" t="n">
        <v>278600</v>
      </c>
      <c r="G12" t="n">
        <v>199</v>
      </c>
      <c r="H12" t="n">
        <v>278600</v>
      </c>
      <c r="I12">
        <f>HYPERLINK("https://www.shure.com/en-US/products/wireless_systems/qlx-d_digital_wireless_system/qlxd1", "🌐 공식 홈페이지 이동")</f>
        <v/>
      </c>
    </row>
    <row r="13">
      <c r="A13" t="inlineStr">
        <is>
          <t>아</t>
        </is>
      </c>
      <c r="B13" t="inlineStr">
        <is>
          <t>무선마이크 배터리 충전기</t>
        </is>
      </c>
      <c r="C13" t="inlineStr">
        <is>
          <t>Shure</t>
        </is>
      </c>
      <c r="D13" t="inlineStr">
        <is>
          <t>SBC200</t>
        </is>
      </c>
      <c r="E13" t="n">
        <v>1</v>
      </c>
      <c r="F13" t="n">
        <v>208600</v>
      </c>
      <c r="G13" t="n">
        <v>149</v>
      </c>
      <c r="H13" t="n">
        <v>208600</v>
      </c>
      <c r="I13">
        <f>HYPERLINK("https://www.shure.com/en-US/products/accessories/sbc200", "🌐 공식 홈페이지 이동")</f>
        <v/>
      </c>
    </row>
    <row r="14">
      <c r="A14" t="inlineStr">
        <is>
          <t>자</t>
        </is>
      </c>
      <c r="B14" t="inlineStr">
        <is>
          <t>무선마이크 배터리</t>
        </is>
      </c>
      <c r="C14" t="inlineStr">
        <is>
          <t>Shure</t>
        </is>
      </c>
      <c r="D14" t="inlineStr">
        <is>
          <t>SB900B</t>
        </is>
      </c>
      <c r="E14" t="n">
        <v>1</v>
      </c>
      <c r="F14" t="n">
        <v>110600</v>
      </c>
      <c r="G14" t="n">
        <v>79</v>
      </c>
      <c r="H14" t="n">
        <v>110600</v>
      </c>
      <c r="I14">
        <f>HYPERLINK("https://www.shure.com/en-US/products/accessories/sb900b", "🌐 공식 홈페이지 이동")</f>
        <v/>
      </c>
    </row>
    <row r="15">
      <c r="A15" t="inlineStr">
        <is>
          <t>차</t>
        </is>
      </c>
      <c r="B15" t="inlineStr">
        <is>
          <t>디지털 믹서</t>
        </is>
      </c>
      <c r="C15" t="inlineStr">
        <is>
          <t>Yamaha</t>
        </is>
      </c>
      <c r="D15" t="inlineStr">
        <is>
          <t>DM7</t>
        </is>
      </c>
      <c r="E15" t="n">
        <v>1</v>
      </c>
      <c r="F15" t="n">
        <v>5598600</v>
      </c>
      <c r="G15" t="n">
        <v>3999</v>
      </c>
      <c r="H15" t="n">
        <v>5598600</v>
      </c>
      <c r="I15">
        <f>HYPERLINK("https://usa.yamaha.com/products/proaudio/live_sound/dm7/index.html", "🌐 공식 홈페이지 이동")</f>
        <v/>
      </c>
    </row>
    <row r="16">
      <c r="A16" t="inlineStr">
        <is>
          <t>1</t>
        </is>
      </c>
      <c r="B16" t="inlineStr">
        <is>
          <t>디지털 믹서</t>
        </is>
      </c>
      <c r="C16" t="inlineStr">
        <is>
          <t>Unknown</t>
        </is>
      </c>
      <c r="D16" t="inlineStr">
        <is>
          <t>Unknown</t>
        </is>
      </c>
      <c r="E16" t="n">
        <v>1</v>
      </c>
      <c r="F16" t="n">
        <v>14000000</v>
      </c>
      <c r="G16" t="n">
        <v>10000</v>
      </c>
      <c r="H16" t="n">
        <v>14000000</v>
      </c>
      <c r="I16">
        <f>HYPERLINK("https://search.shopping.naver.com/search/all?query=digital%20mixer%20120%20channel", "🛒 네이버 쇼핑 검색")</f>
        <v/>
      </c>
    </row>
    <row r="17">
      <c r="A17" t="inlineStr">
        <is>
          <t>2</t>
        </is>
      </c>
      <c r="B17" t="inlineStr">
        <is>
          <t>멀티 터치 스크린 컨트롤러</t>
        </is>
      </c>
      <c r="C17" t="inlineStr">
        <is>
          <t>Unknown</t>
        </is>
      </c>
      <c r="D17" t="inlineStr">
        <is>
          <t>Unknown</t>
        </is>
      </c>
      <c r="E17" t="n">
        <v>1</v>
      </c>
      <c r="F17" t="n">
        <v>11200000</v>
      </c>
      <c r="G17" t="n">
        <v>8000</v>
      </c>
      <c r="H17" t="n">
        <v>11200000</v>
      </c>
      <c r="I17">
        <f>HYPERLINK("https://search.shopping.naver.com/search/all?query=motorized%20fader%20touch%20screen%20controller", "🛒 네이버 쇼핑 검색")</f>
        <v/>
      </c>
    </row>
    <row r="18">
      <c r="A18" t="inlineStr">
        <is>
          <t>3</t>
        </is>
      </c>
      <c r="B18" t="inlineStr">
        <is>
          <t>DSP</t>
        </is>
      </c>
      <c r="C18" t="inlineStr">
        <is>
          <t>BSS</t>
        </is>
      </c>
      <c r="D18" t="inlineStr">
        <is>
          <t>BLU-100</t>
        </is>
      </c>
      <c r="E18" t="n">
        <v>1</v>
      </c>
      <c r="F18" t="n">
        <v>3500000</v>
      </c>
      <c r="G18" t="n">
        <v>2500</v>
      </c>
      <c r="H18" t="n">
        <v>3500000</v>
      </c>
      <c r="I18">
        <f>HYPERLINK("https://bssaudio.com/products/blu-100/", "🌐 공식 홈페이지 이동")</f>
        <v/>
      </c>
    </row>
    <row r="19">
      <c r="A19" t="inlineStr">
        <is>
          <t>4</t>
        </is>
      </c>
      <c r="B19" t="inlineStr">
        <is>
          <t>DSP</t>
        </is>
      </c>
      <c r="C19" t="inlineStr">
        <is>
          <t>dbx</t>
        </is>
      </c>
      <c r="D19" t="inlineStr">
        <is>
          <t>ASF2</t>
        </is>
      </c>
      <c r="E19" t="n">
        <v>1</v>
      </c>
      <c r="F19" t="n">
        <v>1120000</v>
      </c>
      <c r="G19" t="n">
        <v>800</v>
      </c>
      <c r="H19" t="n">
        <v>1120000</v>
      </c>
      <c r="I19">
        <f>HYPERLINK("https://www.dbxpro.com/en-US/products/acoustic-suspension-filters/asf2", "🌐 공식 홈페이지 이동")</f>
        <v/>
      </c>
    </row>
    <row r="20">
      <c r="A20" t="inlineStr">
        <is>
          <t>5</t>
        </is>
      </c>
      <c r="B20" t="inlineStr">
        <is>
          <t>파워 앰프</t>
        </is>
      </c>
      <c r="C20" t="inlineStr">
        <is>
          <t>Crown</t>
        </is>
      </c>
      <c r="D20" t="inlineStr">
        <is>
          <t>CDi4|300BL</t>
        </is>
      </c>
      <c r="E20" t="n">
        <v>1</v>
      </c>
      <c r="F20" t="n">
        <v>2100000</v>
      </c>
      <c r="G20" t="n">
        <v>1500</v>
      </c>
      <c r="H20" t="n">
        <v>2100000</v>
      </c>
      <c r="I20">
        <f>HYPERLINK("https://www.crownaudio.com/en-us/products/cdi-4-300bl", "🌐 공식 홈페이지 이동")</f>
        <v/>
      </c>
    </row>
    <row r="21">
      <c r="A21" t="inlineStr">
        <is>
          <t>6</t>
        </is>
      </c>
      <c r="B21" t="inlineStr">
        <is>
          <t>PTZ 카메라</t>
        </is>
      </c>
      <c r="C21" t="inlineStr">
        <is>
          <t>Canon</t>
        </is>
      </c>
      <c r="D21" t="inlineStr">
        <is>
          <t>CR-N300</t>
        </is>
      </c>
      <c r="E21" t="n">
        <v>1</v>
      </c>
      <c r="F21" t="n">
        <v>2800000</v>
      </c>
      <c r="G21" t="n">
        <v>2000</v>
      </c>
      <c r="H21" t="n">
        <v>2800000</v>
      </c>
      <c r="I21">
        <f>HYPERLINK("https://www.canon-europe.com/professional/video/ptz-cameras/cr-n300/", "🌐 공식 홈페이지 이동")</f>
        <v/>
      </c>
    </row>
    <row r="22">
      <c r="A22" t="inlineStr">
        <is>
          <t>7</t>
        </is>
      </c>
      <c r="B22" t="inlineStr">
        <is>
          <t>PTZ 카메라 컨트롤러</t>
        </is>
      </c>
      <c r="C22" t="inlineStr">
        <is>
          <t>Canon</t>
        </is>
      </c>
      <c r="D22" t="inlineStr">
        <is>
          <t>RC-IP1000</t>
        </is>
      </c>
      <c r="E22" t="n">
        <v>1</v>
      </c>
      <c r="F22" t="n">
        <v>4200000</v>
      </c>
      <c r="G22" t="n">
        <v>3000</v>
      </c>
      <c r="H22" t="n">
        <v>4200000</v>
      </c>
      <c r="I22">
        <f>HYPERLINK("https://www.canon-europe.com/professional/video/accessories/rc-ip1000/", "🌐 공식 홈페이지 이동")</f>
        <v/>
      </c>
    </row>
    <row r="23">
      <c r="A23" t="inlineStr">
        <is>
          <t>8</t>
        </is>
      </c>
      <c r="B23" t="inlineStr">
        <is>
          <t>SDI 라우터</t>
        </is>
      </c>
      <c r="C23" t="inlineStr">
        <is>
          <t>Blackmagic Design</t>
        </is>
      </c>
      <c r="D23" t="inlineStr">
        <is>
          <t>Videohub 20x20 12G</t>
        </is>
      </c>
      <c r="E23" t="n">
        <v>1</v>
      </c>
      <c r="F23" t="n">
        <v>2800000</v>
      </c>
      <c r="G23" t="n">
        <v>2000</v>
      </c>
      <c r="H23" t="n">
        <v>2800000</v>
      </c>
      <c r="I23">
        <f>HYPERLINK("https://www.blackmagicdesign.com/products/videohub", "🌐 공식 홈페이지 이동")</f>
        <v/>
      </c>
    </row>
    <row r="24">
      <c r="A24" t="inlineStr">
        <is>
          <t>1</t>
        </is>
      </c>
      <c r="B24" t="inlineStr">
        <is>
          <t>SDI 비디오 라우터</t>
        </is>
      </c>
      <c r="C24" t="inlineStr">
        <is>
          <t>Blackmagic Design</t>
        </is>
      </c>
      <c r="D24" t="inlineStr">
        <is>
          <t>VideoHub</t>
        </is>
      </c>
      <c r="E24" t="n">
        <v>1</v>
      </c>
      <c r="F24" t="n">
        <v>2093000</v>
      </c>
      <c r="G24" t="n">
        <v>1495</v>
      </c>
      <c r="H24" t="n">
        <v>2093000</v>
      </c>
      <c r="I24">
        <f>HYPERLINK("https://www.blackmagicdesign.com/products/videohub", "🌐 공식 홈페이지 이동")</f>
        <v/>
      </c>
    </row>
    <row r="25">
      <c r="A25" t="inlineStr">
        <is>
          <t>2</t>
        </is>
      </c>
      <c r="B25" t="inlineStr">
        <is>
          <t>비디오 라우터 컨트롤 패널</t>
        </is>
      </c>
      <c r="C25" t="inlineStr">
        <is>
          <t>Blackmagic Design</t>
        </is>
      </c>
      <c r="D25" t="inlineStr">
        <is>
          <t>VideoHub smart Control Pro</t>
        </is>
      </c>
      <c r="E25" t="n">
        <v>1</v>
      </c>
      <c r="F25" t="n">
        <v>483000</v>
      </c>
      <c r="G25" t="n">
        <v>345</v>
      </c>
      <c r="H25" t="n">
        <v>483000</v>
      </c>
      <c r="I25">
        <f>HYPERLINK("https://www.blackmagicdesign.com/products/videohubsmartcontrol", "🌐 공식 홈페이지 이동")</f>
        <v/>
      </c>
    </row>
    <row r="26">
      <c r="A26" t="inlineStr">
        <is>
          <t>3</t>
        </is>
      </c>
      <c r="B26" t="inlineStr">
        <is>
          <t>SDI 멀티뷰어</t>
        </is>
      </c>
      <c r="C26" t="inlineStr">
        <is>
          <t>Blackmagic Design</t>
        </is>
      </c>
      <c r="D26" t="inlineStr">
        <is>
          <t>Mutiviwer 16</t>
        </is>
      </c>
      <c r="E26" t="n">
        <v>1</v>
      </c>
      <c r="F26" t="n">
        <v>1253000</v>
      </c>
      <c r="G26" t="n">
        <v>895</v>
      </c>
      <c r="H26" t="n">
        <v>1253000</v>
      </c>
      <c r="I26">
        <f>HYPERLINK("https://www.blackmagicdesign.com/products/multiview16", "🌐 공식 홈페이지 이동")</f>
        <v/>
      </c>
    </row>
    <row r="27">
      <c r="A27" t="inlineStr">
        <is>
          <t>4</t>
        </is>
      </c>
      <c r="B27" t="inlineStr">
        <is>
          <t>SDI 레코더</t>
        </is>
      </c>
      <c r="C27" t="inlineStr">
        <is>
          <t>Blackmagic Design</t>
        </is>
      </c>
      <c r="D27" t="inlineStr">
        <is>
          <t>HyperDeck Studio HD Mini</t>
        </is>
      </c>
      <c r="E27" t="n">
        <v>1</v>
      </c>
      <c r="F27" t="n">
        <v>623000</v>
      </c>
      <c r="G27" t="n">
        <v>445</v>
      </c>
      <c r="H27" t="n">
        <v>623000</v>
      </c>
      <c r="I27">
        <f>HYPERLINK("https://www.blackmagicdesign.com/products/hyperdeckstudiohdmini", "🌐 공식 홈페이지 이동")</f>
        <v/>
      </c>
    </row>
    <row r="28">
      <c r="A28" t="inlineStr">
        <is>
          <t>5</t>
        </is>
      </c>
      <c r="B28" t="inlineStr">
        <is>
          <t>SDI 스트리밍 인코더</t>
        </is>
      </c>
      <c r="C28" t="inlineStr">
        <is>
          <t>Blackmagic Design</t>
        </is>
      </c>
      <c r="D28" t="inlineStr">
        <is>
          <t>Streaming Encoder 4K</t>
        </is>
      </c>
      <c r="E28" t="n">
        <v>1</v>
      </c>
      <c r="F28" t="n">
        <v>3493000</v>
      </c>
      <c r="G28" t="n">
        <v>2495</v>
      </c>
      <c r="H28" t="n">
        <v>3493000</v>
      </c>
      <c r="I28">
        <f>HYPERLINK("https://www.blackmagicdesign.com/products/streamingencoder", "🌐 공식 홈페이지 이동")</f>
        <v/>
      </c>
    </row>
    <row r="29">
      <c r="A29" t="inlineStr">
        <is>
          <t>6</t>
        </is>
      </c>
      <c r="B29" t="inlineStr">
        <is>
          <t>SDI-오디오 컨버터</t>
        </is>
      </c>
      <c r="C29" t="inlineStr">
        <is>
          <t>Blackmagic Design</t>
        </is>
      </c>
      <c r="D29" t="inlineStr">
        <is>
          <t>Ternanex Mini Audio to SDI 12G</t>
        </is>
      </c>
      <c r="E29" t="n">
        <v>1</v>
      </c>
      <c r="F29" t="n">
        <v>343000</v>
      </c>
      <c r="G29" t="n">
        <v>245</v>
      </c>
      <c r="H29" t="n">
        <v>343000</v>
      </c>
      <c r="I29">
        <f>HYPERLINK("https://www.blackmagicdesign.com/products/teranexminiaudiosdi", "🌐 공식 홈페이지 이동")</f>
        <v/>
      </c>
    </row>
    <row r="30">
      <c r="A30" t="inlineStr">
        <is>
          <t>1</t>
        </is>
      </c>
      <c r="B30" t="inlineStr">
        <is>
          <t>오디오-비디오 컨버터</t>
        </is>
      </c>
      <c r="C30" t="inlineStr">
        <is>
          <t>Unknown</t>
        </is>
      </c>
      <c r="D30" t="inlineStr">
        <is>
          <t>Unknown</t>
        </is>
      </c>
      <c r="E30" t="n">
        <v>1</v>
      </c>
      <c r="F30" t="n">
        <v>1120000</v>
      </c>
      <c r="G30" t="n">
        <v>800</v>
      </c>
      <c r="H30" t="n">
        <v>1120000</v>
      </c>
      <c r="I30">
        <f>HYPERLINK("https://search.shopping.naver.com/search/all?query=12G-SDI%20audio%20embedder%20converter", "🛒 네이버 쇼핑 검색")</f>
        <v/>
      </c>
    </row>
    <row r="31">
      <c r="A31" t="inlineStr">
        <is>
          <t>2</t>
        </is>
      </c>
      <c r="B31" t="inlineStr">
        <is>
          <t>통합 제어 컨트롤러</t>
        </is>
      </c>
      <c r="C31" t="inlineStr">
        <is>
          <t>AMX</t>
        </is>
      </c>
      <c r="D31" t="inlineStr">
        <is>
          <t>MU-2300</t>
        </is>
      </c>
      <c r="E31" t="n">
        <v>1</v>
      </c>
      <c r="F31" t="n">
        <v>1120000</v>
      </c>
      <c r="G31" t="n">
        <v>800</v>
      </c>
      <c r="H31" t="n">
        <v>1120000</v>
      </c>
      <c r="I31">
        <f>HYPERLINK("https://www.amx.com/en-US/products/control-systems/control-processors/mu-2300", "🌐 공식 홈페이지 이동")</f>
        <v/>
      </c>
    </row>
    <row r="32">
      <c r="A32" t="inlineStr">
        <is>
          <t>3</t>
        </is>
      </c>
      <c r="B32" t="inlineStr">
        <is>
          <t>통합 제어 터치 패널</t>
        </is>
      </c>
      <c r="C32" t="inlineStr">
        <is>
          <t>AMX</t>
        </is>
      </c>
      <c r="D32" t="inlineStr">
        <is>
          <t>VARIA-100</t>
        </is>
      </c>
      <c r="E32" t="n">
        <v>1</v>
      </c>
      <c r="F32" t="n">
        <v>840000</v>
      </c>
      <c r="G32" t="n">
        <v>600</v>
      </c>
      <c r="H32" t="n">
        <v>840000</v>
      </c>
      <c r="I32">
        <f>HYPERLINK("https://www.amx.com/en-US/products/control-systems/touch-panels/varia-100", "🌐 공식 홈페이지 이동")</f>
        <v/>
      </c>
    </row>
    <row r="33">
      <c r="A33" t="inlineStr">
        <is>
          <t>4</t>
        </is>
      </c>
      <c r="B33" t="inlineStr">
        <is>
          <t>전원 분배기</t>
        </is>
      </c>
      <c r="C33" t="inlineStr">
        <is>
          <t>Serge</t>
        </is>
      </c>
      <c r="D33" t="inlineStr">
        <is>
          <t>SEQ-1216i</t>
        </is>
      </c>
      <c r="E33" t="n">
        <v>1</v>
      </c>
      <c r="F33" t="n">
        <v>980000</v>
      </c>
      <c r="G33" t="n">
        <v>700</v>
      </c>
      <c r="H33" t="n">
        <v>980000</v>
      </c>
      <c r="I33">
        <f>HYPERLINK("https://search.shopping.naver.com/search/all?query=Serge%20SEQ-1216i%20price", "🛒 네이버 쇼핑 검색")</f>
        <v/>
      </c>
    </row>
    <row r="34">
      <c r="A34" t="inlineStr">
        <is>
          <t>5</t>
        </is>
      </c>
      <c r="B34" t="inlineStr">
        <is>
          <t>무정전 전원 장치</t>
        </is>
      </c>
      <c r="C34" t="inlineStr">
        <is>
          <t>APC</t>
        </is>
      </c>
      <c r="D34" t="inlineStr">
        <is>
          <t>Smart-UPS SMT3000RMI2U</t>
        </is>
      </c>
      <c r="E34" t="n">
        <v>1</v>
      </c>
      <c r="F34" t="n">
        <v>2100000</v>
      </c>
      <c r="G34" t="n">
        <v>1500</v>
      </c>
      <c r="H34" t="n">
        <v>2100000</v>
      </c>
      <c r="I34">
        <f>HYPERLINK("https://www.apc.com/shop/kr/ko/products/Smart-UPS-SMT3000RMI2U/AP9631KR", "🌐 공식 홈페이지 이동")</f>
        <v/>
      </c>
    </row>
    <row r="35">
      <c r="A35" t="inlineStr">
        <is>
          <t>6</t>
        </is>
      </c>
      <c r="B35" t="inlineStr">
        <is>
          <t>LCD 사이니지</t>
        </is>
      </c>
      <c r="C35" t="inlineStr">
        <is>
          <t>Unknown</t>
        </is>
      </c>
      <c r="D35" t="inlineStr">
        <is>
          <t>Unknown</t>
        </is>
      </c>
      <c r="E35" t="n">
        <v>1</v>
      </c>
      <c r="F35" t="n">
        <v>980000</v>
      </c>
      <c r="G35" t="n">
        <v>700</v>
      </c>
      <c r="H35" t="n">
        <v>980000</v>
      </c>
      <c r="I35">
        <f>HYPERLINK("https://search.shopping.naver.com/search/all?query=43/50/55/65%20inch%204K%20LCD%20signage", "🛒 네이버 쇼핑 검색")</f>
        <v/>
      </c>
    </row>
    <row r="36">
      <c r="A36" t="inlineStr">
        <is>
          <t>1</t>
        </is>
      </c>
      <c r="B36" t="inlineStr">
        <is>
          <t>디지털 사이니지</t>
        </is>
      </c>
      <c r="C36" t="inlineStr">
        <is>
          <t>Unknown</t>
        </is>
      </c>
      <c r="D36" t="inlineStr">
        <is>
          <t>Unknown</t>
        </is>
      </c>
      <c r="E36" t="n">
        <v>1</v>
      </c>
      <c r="F36" t="n">
        <v>1680000</v>
      </c>
      <c r="G36" t="n">
        <v>1200</v>
      </c>
      <c r="H36" t="n">
        <v>1680000</v>
      </c>
      <c r="I36">
        <f>HYPERLINK("https://search.shopping.naver.com/search/all?query=commercial%20display%20signage", "🛒 네이버 쇼핑 검색")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2026-02-26T05:43:42Z</dcterms:created>
  <dcterms:modified xsi:type="dcterms:W3CDTF">2026-02-26T05:43:42Z</dcterms:modified>
</cp:coreProperties>
</file>