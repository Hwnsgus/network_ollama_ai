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 번호</t>
        </is>
      </c>
      <c r="B1" s="1" t="inlineStr">
        <is>
          <t>국문(품명)</t>
        </is>
      </c>
      <c r="C1" s="1" t="inlineStr">
        <is>
          <t>Maker</t>
        </is>
      </c>
      <c r="D1" s="1" t="inlineStr">
        <is>
          <t>Model</t>
        </is>
      </c>
      <c r="E1" s="1" t="inlineStr">
        <is>
          <t>필요 개수</t>
        </is>
      </c>
      <c r="F1" s="1" t="inlineStr">
        <is>
          <t>구매처 검색(Naver)</t>
        </is>
      </c>
    </row>
    <row r="2">
      <c r="A2" t="inlineStr">
        <is>
          <t>1</t>
        </is>
      </c>
      <c r="B2" t="inlineStr">
        <is>
          <t>스마트디스플레이 (LED Display)</t>
        </is>
      </c>
      <c r="C2" t="inlineStr">
        <is>
          <t>Unknown</t>
        </is>
      </c>
      <c r="D2" t="inlineStr">
        <is>
          <t>136 inch LED Display</t>
        </is>
      </c>
      <c r="E2" t="n">
        <v>2</v>
      </c>
      <c r="F2">
        <f>HYPERLINK("https://search.shopping.naver.com/search/all?query=136%20inch%20LED%20display%201.5625%20pixel%20pitch", "₩ 가격비교 이동")</f>
        <v/>
      </c>
    </row>
    <row r="3">
      <c r="A3" t="inlineStr">
        <is>
          <t>2</t>
        </is>
      </c>
      <c r="B3" t="inlineStr">
        <is>
          <t>프로젝터 전자칠판 (Wireless Screen-Sharing Smart Board 86")</t>
        </is>
      </c>
      <c r="C3" t="inlineStr">
        <is>
          <t>PartnerLink</t>
        </is>
      </c>
      <c r="D3" t="inlineStr">
        <is>
          <t>EduBoard-86</t>
        </is>
      </c>
      <c r="E3" t="n">
        <v>2</v>
      </c>
      <c r="F3">
        <f>HYPERLINK("https://search.shopping.naver.com/search/all?query=EduBoard-86%20specifications", "₩ 가격비교 이동")</f>
        <v/>
      </c>
    </row>
    <row r="4">
      <c r="A4" t="inlineStr">
        <is>
          <t>1</t>
        </is>
      </c>
      <c r="B4" t="inlineStr">
        <is>
          <t>전자교탁</t>
        </is>
      </c>
      <c r="C4" t="inlineStr">
        <is>
          <t>MyCompany</t>
        </is>
      </c>
      <c r="D4" t="inlineStr">
        <is>
          <t>SmartPodium-Pro</t>
        </is>
      </c>
      <c r="E4" t="n">
        <v>2</v>
      </c>
      <c r="F4">
        <f>HYPERLINK("https://search.shopping.naver.com/search/all?query=SmartPodium-Pro%20price", "₩ 가격비교 이동")</f>
        <v/>
      </c>
    </row>
    <row r="5">
      <c r="A5" t="inlineStr">
        <is>
          <t>2</t>
        </is>
      </c>
      <c r="B5" t="inlineStr">
        <is>
          <t>전자칠판</t>
        </is>
      </c>
      <c r="C5" t="inlineStr">
        <is>
          <t>PartnerLink</t>
        </is>
      </c>
      <c r="D5" t="inlineStr">
        <is>
          <t>EduBoard-86</t>
        </is>
      </c>
      <c r="E5" t="n">
        <v>1</v>
      </c>
      <c r="F5">
        <f>HYPERLINK("https://search.shopping.naver.com/search/all?query=EduBoard-86%20review", "₩ 가격비교 이동")</f>
        <v/>
      </c>
    </row>
    <row r="6">
      <c r="A6" t="inlineStr">
        <is>
          <t>4</t>
        </is>
      </c>
      <c r="B6" t="inlineStr">
        <is>
          <t>피시카메라</t>
        </is>
      </c>
      <c r="C6" t="inlineStr">
        <is>
          <t>PTZOptics</t>
        </is>
      </c>
      <c r="D6" t="inlineStr">
        <is>
          <t>POE30X-NDI</t>
        </is>
      </c>
      <c r="E6" t="n">
        <v>2</v>
      </c>
      <c r="F6">
        <f>HYPERLINK("https://search.shopping.naver.com/search/all?query=PTZOptics%20POE30X-NDI%20price", "₩ 가격비교 이동")</f>
        <v/>
      </c>
    </row>
    <row r="7">
      <c r="A7" t="inlineStr">
        <is>
          <t>5</t>
        </is>
      </c>
      <c r="B7" t="inlineStr">
        <is>
          <t>녹화장치 (Automatic Lecture Recording System)</t>
        </is>
      </c>
      <c r="C7" t="inlineStr">
        <is>
          <t>Epiphan</t>
        </is>
      </c>
      <c r="D7" t="inlineStr">
        <is>
          <t>Pearl Nano</t>
        </is>
      </c>
      <c r="E7" t="n">
        <v>2</v>
      </c>
      <c r="F7">
        <f>HYPERLINK("https://search.shopping.naver.com/search/all?query=Epiphan%20Pearl%20Nano%20review", "₩ 가격비교 이동")</f>
        <v/>
      </c>
    </row>
    <row r="8">
      <c r="A8" t="inlineStr">
        <is>
          <t>1</t>
        </is>
      </c>
      <c r="B8" t="inlineStr">
        <is>
          <t>마이크 1 (Beamforming Microphone)</t>
        </is>
      </c>
      <c r="C8" t="inlineStr">
        <is>
          <t>Shure</t>
        </is>
      </c>
      <c r="D8" t="inlineStr">
        <is>
          <t>MXA920</t>
        </is>
      </c>
      <c r="E8" t="n">
        <v>4</v>
      </c>
      <c r="F8">
        <f>HYPERLINK("https://search.shopping.naver.com/search/all?query=Shure%20MXA920%20price", "₩ 가격비교 이동")</f>
        <v/>
      </c>
    </row>
    <row r="9">
      <c r="A9" t="inlineStr">
        <is>
          <t>2</t>
        </is>
      </c>
      <c r="B9" t="inlineStr">
        <is>
          <t>마이크 2 (Dual Handheld Microphone)</t>
        </is>
      </c>
      <c r="C9" t="inlineStr">
        <is>
          <t>Shure</t>
        </is>
      </c>
      <c r="D9" t="inlineStr">
        <is>
          <t>SLXD24D/PG58</t>
        </is>
      </c>
      <c r="E9" t="n">
        <v>2</v>
      </c>
      <c r="F9">
        <f>HYPERLINK("https://search.shopping.naver.com/search/all?query=Shure%20SLXD24D/PG58%20price", "₩ 가격비교 이동")</f>
        <v/>
      </c>
    </row>
    <row r="10">
      <c r="A10" t="inlineStr">
        <is>
          <t>8</t>
        </is>
      </c>
      <c r="B10" t="inlineStr">
        <is>
          <t>오디오케이스</t>
        </is>
      </c>
      <c r="C10" t="inlineStr">
        <is>
          <t>Unknown</t>
        </is>
      </c>
      <c r="D10" t="inlineStr">
        <is>
          <t>19" Audio Rack (15U)</t>
        </is>
      </c>
      <c r="E10" t="n">
        <v>2</v>
      </c>
      <c r="F10">
        <f>HYPERLINK("https://search.shopping.naver.com/search/all?query=19%20inch%20audio%20rack%2015U", "₩ 가격비교 이동")</f>
        <v/>
      </c>
    </row>
    <row r="11">
      <c r="A11" t="inlineStr">
        <is>
          <t>9</t>
        </is>
      </c>
      <c r="B11" t="inlineStr">
        <is>
          <t>오디오시스템</t>
        </is>
      </c>
      <c r="C11" t="inlineStr">
        <is>
          <t>Unknown</t>
        </is>
      </c>
      <c r="D11" t="inlineStr">
        <is>
          <t>Multi-Camera AV Hub</t>
        </is>
      </c>
      <c r="E11" t="n">
        <v>2</v>
      </c>
      <c r="F11">
        <f>HYPERLINK("https://search.shopping.naver.com/search/all?query=PTZ%20camera%20multi-view%20system", "₩ 가격비교 이동")</f>
        <v/>
      </c>
    </row>
    <row r="12">
      <c r="A12" t="inlineStr">
        <is>
          <t>10</t>
        </is>
      </c>
      <c r="B12" t="inlineStr">
        <is>
          <t>오디오믹서</t>
        </is>
      </c>
      <c r="C12" t="inlineStr">
        <is>
          <t>Behringer</t>
        </is>
      </c>
      <c r="D12" t="inlineStr">
        <is>
          <t>X32 Rack</t>
        </is>
      </c>
      <c r="E12" t="n">
        <v>2</v>
      </c>
      <c r="F12">
        <f>HYPERLINK("https://search.shopping.naver.com/search/all?query=Behringer%20X32%20Rack%20digital%20mixer", "₩ 가격비교 이동")</f>
        <v/>
      </c>
    </row>
    <row r="13">
      <c r="A13" t="inlineStr">
        <is>
          <t>11</t>
        </is>
      </c>
      <c r="B13" t="inlineStr">
        <is>
          <t>스피커 (Wall-Mounted Speaker)</t>
        </is>
      </c>
      <c r="C13" t="inlineStr">
        <is>
          <t>Unknown</t>
        </is>
      </c>
      <c r="D13" t="inlineStr">
        <is>
          <t>Unknown</t>
        </is>
      </c>
      <c r="E13" t="n">
        <v>4</v>
      </c>
      <c r="F13">
        <f>HYPERLINK("https://search.shopping.naver.com/search/all?query=2-way%205.25%22%20wall%20mounted%20speaker%2040W", "₩ 가격비교 이동")</f>
        <v/>
      </c>
    </row>
    <row r="14">
      <c r="A14" t="inlineStr">
        <is>
          <t>12</t>
        </is>
      </c>
      <c r="B14" t="inlineStr">
        <is>
          <t>시스템엠프 (Audio Amplifier System)</t>
        </is>
      </c>
      <c r="C14" t="inlineStr">
        <is>
          <t>Unknown</t>
        </is>
      </c>
      <c r="D14" t="inlineStr">
        <is>
          <t>Unknown</t>
        </is>
      </c>
      <c r="E14" t="n">
        <v>2</v>
      </c>
      <c r="F14">
        <f>HYPERLINK("https://search.shopping.naver.com/search/all?query=audio%20amplifier%202x400W%204%20ohms", "₩ 가격비교 이동")</f>
        <v/>
      </c>
    </row>
    <row r="15">
      <c r="A15" t="inlineStr">
        <is>
          <t>13</t>
        </is>
      </c>
      <c r="B15" t="inlineStr">
        <is>
          <t>전원분배기 (Power Sequencer)</t>
        </is>
      </c>
      <c r="C15" t="inlineStr">
        <is>
          <t>MyCompany</t>
        </is>
      </c>
      <c r="D15" t="inlineStr">
        <is>
          <t>PowerSeq-8ch</t>
        </is>
      </c>
      <c r="E15" t="n">
        <v>2</v>
      </c>
      <c r="F15">
        <f>HYPERLINK("https://search.shopping.naver.com/search/all?query=PowerSeq-8ch", "₩ 가격비교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2026-02-26T01:21:38Z</dcterms:created>
  <dcterms:modified xsi:type="dcterms:W3CDTF">2026-02-26T01:21:38Z</dcterms:modified>
</cp:coreProperties>
</file>