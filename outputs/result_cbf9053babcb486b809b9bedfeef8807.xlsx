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물품 번호</t>
        </is>
      </c>
      <c r="B1" s="1" t="inlineStr">
        <is>
          <t>품명</t>
        </is>
      </c>
      <c r="C1" s="1" t="inlineStr">
        <is>
          <t>제조사(Maker)</t>
        </is>
      </c>
      <c r="D1" s="1" t="inlineStr">
        <is>
          <t>모델명(Model)</t>
        </is>
      </c>
      <c r="E1" s="1" t="inlineStr">
        <is>
          <t>수량</t>
        </is>
      </c>
      <c r="F1" s="1" t="inlineStr">
        <is>
          <t>단가(추정 ₩)</t>
        </is>
      </c>
      <c r="G1" s="1" t="inlineStr">
        <is>
          <t>단가(추정 $)</t>
        </is>
      </c>
      <c r="H1" s="1" t="inlineStr">
        <is>
          <t>총 금액(₩)</t>
        </is>
      </c>
      <c r="I1" s="1" t="inlineStr">
        <is>
          <t>참조 링크</t>
        </is>
      </c>
    </row>
    <row r="2">
      <c r="A2" t="inlineStr">
        <is>
          <t>1</t>
        </is>
      </c>
      <c r="B2" t="inlineStr">
        <is>
          <t>스마트디스플레이 (LED Display)</t>
        </is>
      </c>
      <c r="C2" t="inlineStr">
        <is>
          <t>Unknown</t>
        </is>
      </c>
      <c r="D2" t="inlineStr">
        <is>
          <t>Unknown</t>
        </is>
      </c>
      <c r="E2" t="n">
        <v>2</v>
      </c>
      <c r="F2" t="n">
        <v>21000000</v>
      </c>
      <c r="G2" t="n">
        <v>15000</v>
      </c>
      <c r="H2" t="n">
        <v>42000000</v>
      </c>
      <c r="I2">
        <f>HYPERLINK("https://search.shopping.naver.com/search/all?query=136%20inch%20LED%20display%20price", "🛒 네이버 쇼핑 검색")</f>
        <v/>
      </c>
    </row>
    <row r="3">
      <c r="A3" t="inlineStr">
        <is>
          <t>2</t>
        </is>
      </c>
      <c r="B3" t="inlineStr">
        <is>
          <t>프로젝터 전자칠판 (Wireless Screen-Sharing Smart Board 86")</t>
        </is>
      </c>
      <c r="C3" t="inlineStr">
        <is>
          <t>PartnerLink</t>
        </is>
      </c>
      <c r="D3" t="inlineStr">
        <is>
          <t>EduBoard-86</t>
        </is>
      </c>
      <c r="E3" t="n">
        <v>2</v>
      </c>
      <c r="F3" t="n">
        <v>8400000</v>
      </c>
      <c r="G3" t="n">
        <v>6000</v>
      </c>
      <c r="H3" t="n">
        <v>16800000</v>
      </c>
      <c r="I3">
        <f>HYPERLINK("https://search.shopping.naver.com/search/all?query=PartnerLink%20EduBoard-86%20price", "🛒 네이버 쇼핑 검색")</f>
        <v/>
      </c>
    </row>
    <row r="4">
      <c r="A4" t="inlineStr">
        <is>
          <t>1</t>
        </is>
      </c>
      <c r="B4" t="inlineStr">
        <is>
          <t>전자교탁(Digital Teaching Podium)</t>
        </is>
      </c>
      <c r="C4" t="inlineStr">
        <is>
          <t>MyCompany</t>
        </is>
      </c>
      <c r="D4" t="inlineStr">
        <is>
          <t>SmartPodium-Pro</t>
        </is>
      </c>
      <c r="E4" t="n">
        <v>2</v>
      </c>
      <c r="F4" t="n">
        <v>3500000</v>
      </c>
      <c r="G4" t="n">
        <v>2500</v>
      </c>
      <c r="H4" t="n">
        <v>7000000</v>
      </c>
      <c r="I4">
        <f>HYPERLINK("https://search.shopping.naver.com/search/all?query=MyCompany%20SmartPodium-Pro%20price", "🛒 네이버 쇼핑 검색")</f>
        <v/>
      </c>
    </row>
    <row r="5">
      <c r="A5" t="inlineStr">
        <is>
          <t>2</t>
        </is>
      </c>
      <c r="B5" t="inlineStr">
        <is>
          <t>전자칠판</t>
        </is>
      </c>
      <c r="C5" t="inlineStr">
        <is>
          <t>PartnerLink</t>
        </is>
      </c>
      <c r="D5" t="inlineStr">
        <is>
          <t>EduBoard-86</t>
        </is>
      </c>
      <c r="E5" t="n">
        <v>0</v>
      </c>
      <c r="F5" t="n">
        <v>4200000</v>
      </c>
      <c r="G5" t="n">
        <v>3000</v>
      </c>
      <c r="H5" t="n">
        <v>0</v>
      </c>
      <c r="I5">
        <f>HYPERLINK("https://search.shopping.naver.com/search/all?query=PartnerLink%20EduBoard-86%20price", "🛒 네이버 쇼핑 검색")</f>
        <v/>
      </c>
    </row>
    <row r="6">
      <c r="A6" t="inlineStr">
        <is>
          <t>4</t>
        </is>
      </c>
      <c r="B6" t="inlineStr">
        <is>
          <t>피시카메라</t>
        </is>
      </c>
      <c r="C6" t="inlineStr">
        <is>
          <t>Unknown</t>
        </is>
      </c>
      <c r="D6" t="inlineStr">
        <is>
          <t>Unknown</t>
        </is>
      </c>
      <c r="E6" t="n">
        <v>2</v>
      </c>
      <c r="F6" t="n">
        <v>1680000</v>
      </c>
      <c r="G6" t="n">
        <v>1200</v>
      </c>
      <c r="H6" t="n">
        <v>3360000</v>
      </c>
      <c r="I6">
        <f>HYPERLINK("https://search.shopping.naver.com/search/all?query=PTZ%20camera%2012x%20optical%20zoom%20NDI", "🛒 네이버 쇼핑 검색")</f>
        <v/>
      </c>
    </row>
    <row r="7">
      <c r="A7" t="inlineStr">
        <is>
          <t>5</t>
        </is>
      </c>
      <c r="B7" t="inlineStr">
        <is>
          <t>녹화장치 (Automatic Lecture Recording System)</t>
        </is>
      </c>
      <c r="C7" t="inlineStr">
        <is>
          <t>Unknown</t>
        </is>
      </c>
      <c r="D7" t="inlineStr">
        <is>
          <t>Unknown</t>
        </is>
      </c>
      <c r="E7" t="n">
        <v>2</v>
      </c>
      <c r="F7" t="n">
        <v>3500000</v>
      </c>
      <c r="G7" t="n">
        <v>2500</v>
      </c>
      <c r="H7" t="n">
        <v>7000000</v>
      </c>
      <c r="I7">
        <f>HYPERLINK("https://search.shopping.naver.com/search/all?query=Lecture%20capture%20system%20RTX%203050", "🛒 네이버 쇼핑 검색")</f>
        <v/>
      </c>
    </row>
    <row r="8">
      <c r="A8" t="inlineStr">
        <is>
          <t>6</t>
        </is>
      </c>
      <c r="B8" t="inlineStr">
        <is>
          <t>마이크 1 (Beamforming Microphone)</t>
        </is>
      </c>
      <c r="C8" t="inlineStr">
        <is>
          <t>Shure</t>
        </is>
      </c>
      <c r="D8" t="inlineStr">
        <is>
          <t>MXA920</t>
        </is>
      </c>
      <c r="E8" t="n">
        <v>4</v>
      </c>
      <c r="F8" t="n">
        <v>2098600</v>
      </c>
      <c r="G8" t="n">
        <v>1499</v>
      </c>
      <c r="H8" t="n">
        <v>8394400</v>
      </c>
      <c r="I8">
        <f>HYPERLINK("https://www.shure.com/en-US/products/microphones/mxa920-ceiling-array-microphone", "🌐 공식 홈페이지 이동")</f>
        <v/>
      </c>
    </row>
    <row r="9">
      <c r="A9" t="inlineStr">
        <is>
          <t>7</t>
        </is>
      </c>
      <c r="B9" t="inlineStr">
        <is>
          <t>마이크 2 (Dual Handheld Microphone)</t>
        </is>
      </c>
      <c r="C9" t="inlineStr">
        <is>
          <t>Shure</t>
        </is>
      </c>
      <c r="D9" t="inlineStr">
        <is>
          <t>SLXD24/PG58</t>
        </is>
      </c>
      <c r="E9" t="n">
        <v>2</v>
      </c>
      <c r="F9" t="n">
        <v>908600</v>
      </c>
      <c r="G9" t="n">
        <v>649</v>
      </c>
      <c r="H9" t="n">
        <v>1817200</v>
      </c>
      <c r="I9">
        <f>HYPERLINK("https://www.shure.com/en-US/products/wireless-systems/slxd24pg58-dual-channel-handheld-wireless-microphone-system-pg58", "🌐 공식 홈페이지 이동")</f>
        <v/>
      </c>
    </row>
    <row r="10">
      <c r="A10" t="inlineStr">
        <is>
          <t>8</t>
        </is>
      </c>
      <c r="B10" t="inlineStr">
        <is>
          <t>오디오케이스</t>
        </is>
      </c>
      <c r="C10" t="inlineStr">
        <is>
          <t>Unknown</t>
        </is>
      </c>
      <c r="D10" t="inlineStr">
        <is>
          <t>19" Audio Rack</t>
        </is>
      </c>
      <c r="E10" t="n">
        <v>2</v>
      </c>
      <c r="F10" t="n">
        <v>280000</v>
      </c>
      <c r="G10" t="n">
        <v>200</v>
      </c>
      <c r="H10" t="n">
        <v>560000</v>
      </c>
      <c r="I10">
        <f>HYPERLINK("https://search.shopping.naver.com/search/all?query=19%20inch%20audio%20rack", "🛒 네이버 쇼핑 검색")</f>
        <v/>
      </c>
    </row>
    <row r="11">
      <c r="A11" t="inlineStr">
        <is>
          <t>9</t>
        </is>
      </c>
      <c r="B11" t="inlineStr">
        <is>
          <t>오디오시스템</t>
        </is>
      </c>
      <c r="C11" t="inlineStr">
        <is>
          <t>Unknown</t>
        </is>
      </c>
      <c r="D11" t="inlineStr">
        <is>
          <t>AVHUB</t>
        </is>
      </c>
      <c r="E11" t="n">
        <v>2</v>
      </c>
      <c r="F11" t="n">
        <v>2100000</v>
      </c>
      <c r="G11" t="n">
        <v>1500</v>
      </c>
      <c r="H11" t="n">
        <v>4200000</v>
      </c>
      <c r="I11">
        <f>HYPERLINK("https://search.shopping.naver.com/search/all?query=multi%20camera%20PTZ%20control%20system", "🛒 네이버 쇼핑 검색")</f>
        <v/>
      </c>
    </row>
    <row r="12">
      <c r="A12" t="inlineStr">
        <is>
          <t>10</t>
        </is>
      </c>
      <c r="B12" t="inlineStr">
        <is>
          <t>오디오믹서</t>
        </is>
      </c>
      <c r="C12" t="inlineStr">
        <is>
          <t>BEHRINGER</t>
        </is>
      </c>
      <c r="D12" t="inlineStr">
        <is>
          <t>X32 COMPACT</t>
        </is>
      </c>
      <c r="E12" t="n">
        <v>2</v>
      </c>
      <c r="F12" t="n">
        <v>1680000</v>
      </c>
      <c r="G12" t="n">
        <v>1200</v>
      </c>
      <c r="H12" t="n">
        <v>3360000</v>
      </c>
      <c r="I12">
        <f>HYPERLINK("https://www.music-group.com/Categories/Behringer/Digital-Mixers/X32-COMPACT/p/P0A9G", "🌐 공식 홈페이지 이동")</f>
        <v/>
      </c>
    </row>
    <row r="13">
      <c r="A13" t="inlineStr">
        <is>
          <t>11</t>
        </is>
      </c>
      <c r="B13" t="inlineStr">
        <is>
          <t>스피커 (Wall-Mounted Speaker)</t>
        </is>
      </c>
      <c r="C13" t="inlineStr">
        <is>
          <t>Unknown</t>
        </is>
      </c>
      <c r="D13" t="inlineStr">
        <is>
          <t>Unknown</t>
        </is>
      </c>
      <c r="E13" t="n">
        <v>4</v>
      </c>
      <c r="F13" t="n">
        <v>112000</v>
      </c>
      <c r="G13" t="n">
        <v>80</v>
      </c>
      <c r="H13" t="n">
        <v>448000</v>
      </c>
      <c r="I13">
        <f>HYPERLINK("https://search.shopping.naver.com/search/all?query=wall%20mounted%20speaker%205.25%20inch%2040w", "🛒 네이버 쇼핑 검색")</f>
        <v/>
      </c>
    </row>
    <row r="14">
      <c r="A14" t="inlineStr">
        <is>
          <t>12</t>
        </is>
      </c>
      <c r="B14" t="inlineStr">
        <is>
          <t>시스템엠프 (Audio Amplifier System)</t>
        </is>
      </c>
      <c r="C14" t="inlineStr">
        <is>
          <t>Unknown</t>
        </is>
      </c>
      <c r="D14" t="inlineStr">
        <is>
          <t>Unknown</t>
        </is>
      </c>
      <c r="E14" t="n">
        <v>2</v>
      </c>
      <c r="F14" t="n">
        <v>420000</v>
      </c>
      <c r="G14" t="n">
        <v>300</v>
      </c>
      <c r="H14" t="n">
        <v>840000</v>
      </c>
      <c r="I14">
        <f>HYPERLINK("https://search.shopping.naver.com/search/all?query=audio%20amplifier%202x400w%20800w%20bridge", "🛒 네이버 쇼핑 검색")</f>
        <v/>
      </c>
    </row>
    <row r="15">
      <c r="A15" t="inlineStr">
        <is>
          <t>13</t>
        </is>
      </c>
      <c r="B15" t="inlineStr">
        <is>
          <t>전원분배기 (Power Sequencer)</t>
        </is>
      </c>
      <c r="C15" t="inlineStr">
        <is>
          <t>MyCompany</t>
        </is>
      </c>
      <c r="D15" t="inlineStr">
        <is>
          <t>PowerSeq-8ch</t>
        </is>
      </c>
      <c r="E15" t="n">
        <v>2</v>
      </c>
      <c r="F15" t="n">
        <v>0</v>
      </c>
      <c r="G15" t="n">
        <v>0</v>
      </c>
      <c r="H15" t="n">
        <v>0</v>
      </c>
      <c r="I15">
        <f>HYPERLINK("https://search.shopping.naver.com/search/all?query=MyCompany%20PowerSeq-8ch", "🛒 네이버 쇼핑 검색")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2026-02-27T01:13:58Z</dcterms:created>
  <dcterms:modified xsi:type="dcterms:W3CDTF">2026-02-27T01:13:58Z</dcterms:modified>
</cp:coreProperties>
</file>